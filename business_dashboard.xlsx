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<sst xmlns="http://schemas.openxmlformats.org/spreadsheetml/2006/main" count="18" uniqueCount="10">
  <si>
    <t>Customer ID</t>
  </si>
  <si>
    <t>joinDate</t>
  </si>
  <si>
    <t>LastActiveDate</t>
  </si>
  <si>
    <t>Status</t>
  </si>
  <si>
    <t>Revenue</t>
  </si>
  <si>
    <t>Churn</t>
  </si>
  <si>
    <t>Active</t>
  </si>
  <si>
    <t>]</t>
  </si>
  <si>
    <t>Inactive</t>
  </si>
  <si>
    <t>Total Customers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</si>
</sst>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Sheet1!$A$1:$A$14</c:f>
            </c:strRef>
          </c:cat>
          <c:val>
            <c:numRef>
              <c:f>Sheet1!$E$1:$E$14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1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4.88"/>
    <col customWidth="1" min="6" max="6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101.0</v>
      </c>
      <c r="B2" s="2">
        <v>44936.0</v>
      </c>
      <c r="C2" s="2">
        <v>45092.0</v>
      </c>
      <c r="D2" s="1" t="s">
        <v>6</v>
      </c>
      <c r="E2" s="1">
        <v>500.0</v>
      </c>
      <c r="F2" s="3" t="str">
        <f t="shared" ref="F2:F11" si="1">IF(D2="Inactive","Churn","Active")</f>
        <v>Active</v>
      </c>
      <c r="G2" s="1" t="s">
        <v>7</v>
      </c>
    </row>
    <row r="3">
      <c r="A3" s="1">
        <v>102.0</v>
      </c>
      <c r="B3" s="2">
        <v>44962.0</v>
      </c>
      <c r="C3" s="2">
        <v>45036.0</v>
      </c>
      <c r="D3" s="1" t="s">
        <v>8</v>
      </c>
      <c r="E3" s="1">
        <v>300.0</v>
      </c>
      <c r="F3" s="3" t="str">
        <f t="shared" si="1"/>
        <v>Churn</v>
      </c>
    </row>
    <row r="4">
      <c r="A4" s="1">
        <v>103.0</v>
      </c>
      <c r="B4" s="2">
        <v>44997.0</v>
      </c>
      <c r="C4" s="2">
        <v>45117.0</v>
      </c>
      <c r="D4" s="1" t="s">
        <v>6</v>
      </c>
      <c r="E4" s="1">
        <v>700.0</v>
      </c>
      <c r="F4" s="3" t="str">
        <f t="shared" si="1"/>
        <v>Active</v>
      </c>
    </row>
    <row r="5">
      <c r="A5" s="1">
        <v>104.0</v>
      </c>
      <c r="B5" s="2">
        <v>44951.0</v>
      </c>
      <c r="C5" s="2">
        <v>45000.0</v>
      </c>
      <c r="D5" s="1" t="s">
        <v>8</v>
      </c>
      <c r="E5" s="1">
        <v>200.0</v>
      </c>
      <c r="F5" s="3" t="str">
        <f t="shared" si="1"/>
        <v>Churn</v>
      </c>
    </row>
    <row r="6">
      <c r="A6" s="1">
        <v>105.0</v>
      </c>
      <c r="B6" s="2">
        <v>45034.0</v>
      </c>
      <c r="C6" s="2">
        <v>45139.0</v>
      </c>
      <c r="D6" s="1" t="s">
        <v>6</v>
      </c>
      <c r="E6" s="1">
        <v>650.0</v>
      </c>
      <c r="F6" s="3" t="str">
        <f t="shared" si="1"/>
        <v>Active</v>
      </c>
    </row>
    <row r="7">
      <c r="A7" s="1">
        <v>106.0</v>
      </c>
      <c r="B7" s="2">
        <v>45056.0</v>
      </c>
      <c r="C7" s="2">
        <v>45102.0</v>
      </c>
      <c r="D7" s="1" t="s">
        <v>8</v>
      </c>
      <c r="E7" s="1">
        <v>400.0</v>
      </c>
      <c r="F7" s="3" t="str">
        <f t="shared" si="1"/>
        <v>Churn</v>
      </c>
    </row>
    <row r="8">
      <c r="A8" s="1">
        <v>107.0</v>
      </c>
      <c r="B8" s="2">
        <v>45078.0</v>
      </c>
      <c r="C8" s="2">
        <v>45148.0</v>
      </c>
      <c r="D8" s="1" t="s">
        <v>6</v>
      </c>
      <c r="E8" s="1">
        <v>800.0</v>
      </c>
      <c r="F8" s="3" t="str">
        <f t="shared" si="1"/>
        <v>Active</v>
      </c>
    </row>
    <row r="9">
      <c r="A9" s="1">
        <v>108.0</v>
      </c>
      <c r="B9" s="2">
        <v>45119.0</v>
      </c>
      <c r="C9" s="2">
        <v>45137.0</v>
      </c>
      <c r="D9" s="1" t="s">
        <v>8</v>
      </c>
      <c r="E9" s="1">
        <v>250.0</v>
      </c>
      <c r="F9" s="3" t="str">
        <f t="shared" si="1"/>
        <v>Churn</v>
      </c>
    </row>
    <row r="10">
      <c r="A10" s="1">
        <v>109.0</v>
      </c>
      <c r="B10" s="2">
        <v>45143.0</v>
      </c>
      <c r="C10" s="2">
        <v>45170.0</v>
      </c>
      <c r="D10" s="1" t="s">
        <v>6</v>
      </c>
      <c r="E10" s="1">
        <v>900.0</v>
      </c>
      <c r="F10" s="3" t="str">
        <f t="shared" si="1"/>
        <v>Active</v>
      </c>
    </row>
    <row r="11">
      <c r="A11" s="1">
        <v>110.0</v>
      </c>
      <c r="B11" s="2">
        <v>45179.0</v>
      </c>
      <c r="C11" s="2">
        <v>45189.0</v>
      </c>
      <c r="D11" s="1" t="s">
        <v>8</v>
      </c>
      <c r="E11" s="1">
        <v>150.0</v>
      </c>
      <c r="F11" s="3" t="str">
        <f t="shared" si="1"/>
        <v>Churn</v>
      </c>
    </row>
    <row r="12">
      <c r="A12" s="1" t="s">
        <v>9</v>
      </c>
      <c r="B12" s="3">
        <f>COUNTA(A2:A11)</f>
        <v>10</v>
      </c>
    </row>
    <row r="13">
      <c r="A13" s="3">
        <f>COUNTIF(D2:D11,"Active")</f>
        <v>5</v>
      </c>
      <c r="B13" s="3">
        <f>COUNTIF(D2:D11,"Active")</f>
        <v>5</v>
      </c>
    </row>
    <row r="14">
      <c r="A14" s="3">
        <f>COUNTIF(D2:D11,"Inactive")</f>
        <v>5</v>
      </c>
      <c r="B14" s="3">
        <f>COUNTIF(D2:D11,"Inactive")</f>
        <v>5</v>
      </c>
    </row>
  </sheetData>
  <drawing r:id="rId1"/>
</worksheet>
</file>